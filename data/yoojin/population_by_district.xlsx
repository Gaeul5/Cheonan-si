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가을\공모전\천안시 공모전\유진\"/>
    </mc:Choice>
  </mc:AlternateContent>
  <xr:revisionPtr revIDLastSave="0" documentId="13_ncr:1_{522518CE-07F1-42A9-9442-E409FAC7BF32}" xr6:coauthVersionLast="47" xr6:coauthVersionMax="47" xr10:uidLastSave="{00000000-0000-0000-0000-000000000000}"/>
  <bookViews>
    <workbookView xWindow="-110" yWindow="-110" windowWidth="25820" windowHeight="15500" xr2:uid="{844BD866-32CB-4753-8BB7-43F21D18F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1" i="1" l="1"/>
  <c r="C198" i="1"/>
  <c r="C197" i="1"/>
  <c r="C187" i="1"/>
  <c r="C176" i="1"/>
  <c r="C173" i="1"/>
  <c r="C172" i="1"/>
  <c r="C162" i="1"/>
  <c r="C151" i="1"/>
  <c r="C148" i="1"/>
  <c r="C147" i="1"/>
  <c r="C137" i="1"/>
  <c r="C126" i="1"/>
  <c r="C123" i="1"/>
  <c r="C122" i="1"/>
  <c r="C112" i="1"/>
  <c r="C101" i="1"/>
  <c r="C98" i="1"/>
  <c r="C97" i="1"/>
  <c r="C87" i="1"/>
  <c r="C76" i="1"/>
  <c r="C73" i="1"/>
  <c r="C72" i="1"/>
  <c r="C62" i="1"/>
  <c r="C51" i="1"/>
  <c r="C48" i="1"/>
  <c r="C47" i="1"/>
  <c r="C37" i="1"/>
  <c r="C26" i="1"/>
  <c r="C23" i="1"/>
  <c r="C22" i="1"/>
  <c r="C12" i="1"/>
</calcChain>
</file>

<file path=xl/sharedStrings.xml><?xml version="1.0" encoding="utf-8"?>
<sst xmlns="http://schemas.openxmlformats.org/spreadsheetml/2006/main" count="203" uniqueCount="28">
  <si>
    <t>불당동</t>
    <phoneticPr fontId="2" type="noConversion"/>
  </si>
  <si>
    <t>연도</t>
    <phoneticPr fontId="2" type="noConversion"/>
  </si>
  <si>
    <t>읍면동</t>
    <phoneticPr fontId="2" type="noConversion"/>
  </si>
  <si>
    <t>인구</t>
    <phoneticPr fontId="2" type="noConversion"/>
  </si>
  <si>
    <t>목천읍</t>
    <phoneticPr fontId="2" type="noConversion"/>
  </si>
  <si>
    <t>풍세면</t>
    <phoneticPr fontId="2" type="noConversion"/>
  </si>
  <si>
    <t>광덕면</t>
    <phoneticPr fontId="2" type="noConversion"/>
  </si>
  <si>
    <t>북면</t>
    <phoneticPr fontId="2" type="noConversion"/>
  </si>
  <si>
    <t>성남면</t>
    <phoneticPr fontId="2" type="noConversion"/>
  </si>
  <si>
    <t>수신면</t>
    <phoneticPr fontId="2" type="noConversion"/>
  </si>
  <si>
    <t>병천면</t>
    <phoneticPr fontId="2" type="noConversion"/>
  </si>
  <si>
    <t>동면</t>
    <phoneticPr fontId="2" type="noConversion"/>
  </si>
  <si>
    <t>중앙동</t>
    <phoneticPr fontId="2" type="noConversion"/>
  </si>
  <si>
    <t>문성동</t>
    <phoneticPr fontId="2" type="noConversion"/>
  </si>
  <si>
    <t>원성동</t>
    <phoneticPr fontId="2" type="noConversion"/>
  </si>
  <si>
    <t>봉명동</t>
    <phoneticPr fontId="2" type="noConversion"/>
  </si>
  <si>
    <t>일봉동</t>
    <phoneticPr fontId="2" type="noConversion"/>
  </si>
  <si>
    <t>신방동</t>
    <phoneticPr fontId="2" type="noConversion"/>
  </si>
  <si>
    <t>청룡동</t>
    <phoneticPr fontId="2" type="noConversion"/>
  </si>
  <si>
    <t>신안동</t>
    <phoneticPr fontId="2" type="noConversion"/>
  </si>
  <si>
    <t>성환읍</t>
    <phoneticPr fontId="2" type="noConversion"/>
  </si>
  <si>
    <t>성거읍</t>
    <phoneticPr fontId="2" type="noConversion"/>
  </si>
  <si>
    <t>직산읍</t>
    <phoneticPr fontId="2" type="noConversion"/>
  </si>
  <si>
    <t>입장면</t>
    <phoneticPr fontId="2" type="noConversion"/>
  </si>
  <si>
    <t>성정동</t>
    <phoneticPr fontId="2" type="noConversion"/>
  </si>
  <si>
    <t>쌍용동</t>
    <phoneticPr fontId="2" type="noConversion"/>
  </si>
  <si>
    <t>백석동</t>
    <phoneticPr fontId="2" type="noConversion"/>
  </si>
  <si>
    <t>부성동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</si>
</sst>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_ ;_ * \-#,##0_ ;_ * &quot;-&quot;_ ;_ @_ "/>
    <numFmt numFmtId="177" formatCode="_-* #,##0\ &quot;F&quot;_-;\-* #,##0\ &quot;F&quot;_-;_-* &quot;-&quot;\ &quot;F&quot;_-;_-@_-"/>
    <numFmt numFmtId="178" formatCode="_-* #,##0\ _F_-;\-* #,##0\ _F_-;_-* &quot;-&quot;\ _F_-;_-@_-"/>
    <numFmt numFmtId="179" formatCode="_-* #,##0.00\ &quot;F&quot;_-;\-* #,##0.00\ &quot;F&quot;_-;_-* &quot;-&quot;??\ &quot;F&quot;_-;_-@_-"/>
    <numFmt numFmtId="180" formatCode="_-* #,##0.00\ _F_-;\-* #,##0.00\ _F_-;_-* &quot;-&quot;??\ _F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Times New Roman"/>
      <family val="1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2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/>
    <xf numFmtId="41" fontId="1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3" fillId="0" borderId="0"/>
    <xf numFmtId="0" fontId="8" fillId="0" borderId="0">
      <alignment vertical="center"/>
    </xf>
    <xf numFmtId="178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7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72">
    <cellStyle name="Comma [0]_MATERAL2" xfId="30" xr:uid="{C4124967-2DA1-4D9E-9F1B-C599C873CFF7}"/>
    <cellStyle name="Comma_MATERAL2" xfId="21" xr:uid="{EDBCEC42-E6A2-4B2E-AE8A-613EE0263A92}"/>
    <cellStyle name="Currency [0]_MATERAL2" xfId="22" xr:uid="{E1504FEE-548F-405E-B96A-32D0384A93ED}"/>
    <cellStyle name="Currency_MATERAL2" xfId="20" xr:uid="{ECEF5752-58EE-4A8D-B333-9214C56D8C86}"/>
    <cellStyle name="Normal_MATERAL2" xfId="23" xr:uid="{09708FD6-0B14-42C3-9D57-EB47052CBEF9}"/>
    <cellStyle name="쉼표 [0]" xfId="71" builtinId="6"/>
    <cellStyle name="쉼표 [0] 2" xfId="3" xr:uid="{BA384DED-179A-4B45-8919-76201DC75698}"/>
    <cellStyle name="쉼표 [0] 2 2" xfId="34" xr:uid="{9F51BC4B-ADF1-4D9B-94CE-52EE54D3C3F9}"/>
    <cellStyle name="쉼표 [0] 3" xfId="2" xr:uid="{04AC5C88-0AFD-493C-A785-00545EB63825}"/>
    <cellStyle name="쉼표 [0] 3 2" xfId="31" xr:uid="{278D0161-4587-4B8D-82F5-E6E4CA1327F6}"/>
    <cellStyle name="쉼표 [0] 4" xfId="24" xr:uid="{640AAE8F-2D3A-47F2-B172-A0AB9B89EC41}"/>
    <cellStyle name="쉼표 [0] 4 2" xfId="36" xr:uid="{F2238EF7-0CE0-42A5-A5A4-36444C876EBE}"/>
    <cellStyle name="콤마 [0]_`97년최종" xfId="25" xr:uid="{9A1C1B0C-2233-4330-B607-7D33311ABA6C}"/>
    <cellStyle name="콤마_1.도본청공무원(국가1-2) " xfId="26" xr:uid="{E3DBAE1D-6C27-4034-89A6-F3C39D1184B3}"/>
    <cellStyle name="표준" xfId="0" builtinId="0"/>
    <cellStyle name="표준 10" xfId="4" xr:uid="{3B89FF0D-961A-4ABF-8632-ABCAE64CFB18}"/>
    <cellStyle name="표준 10 2" xfId="29" xr:uid="{E1AD279A-4631-4B6F-A519-1120C2B00324}"/>
    <cellStyle name="표준 11" xfId="5" xr:uid="{00F0FE13-D7C0-4B2F-B7EA-F03B8B519F59}"/>
    <cellStyle name="표준 11 2" xfId="27" xr:uid="{9E5EAB2C-9006-4FBE-930B-73DDF98303FF}"/>
    <cellStyle name="표준 11 2 2" xfId="32" xr:uid="{A942D0FD-2439-4F84-852A-C7AC0813A5AF}"/>
    <cellStyle name="표준 12" xfId="6" xr:uid="{1F5A1D78-C145-45A5-B7B4-FB0D49FB28B8}"/>
    <cellStyle name="표준 13" xfId="7" xr:uid="{48DD52D2-4538-4C2C-86E0-DC2B9D36146F}"/>
    <cellStyle name="표준 14" xfId="8" xr:uid="{8951D1E9-756F-4F3E-97E7-FB708F29E015}"/>
    <cellStyle name="표준 15" xfId="9" xr:uid="{1250E3BA-F2AD-4580-9F30-9334868F4356}"/>
    <cellStyle name="표준 16" xfId="10" xr:uid="{4B42811C-F989-4C05-9625-995536424297}"/>
    <cellStyle name="표준 17" xfId="11" xr:uid="{5AD17FAD-A9DA-4D79-BFF0-58C45B5AD580}"/>
    <cellStyle name="표준 18" xfId="12" xr:uid="{401C011D-1F4A-40E5-8FF1-E03E4304E0D5}"/>
    <cellStyle name="표준 19" xfId="13" xr:uid="{937B794A-9C23-4135-AE32-C0AA737BEC30}"/>
    <cellStyle name="표준 2" xfId="14" xr:uid="{21A80B29-631D-43FB-903E-92874B9F3C1B}"/>
    <cellStyle name="표준 2 2" xfId="28" xr:uid="{C576A4C7-B572-4434-9A2B-1B1683AF1348}"/>
    <cellStyle name="표준 2 2 2" xfId="55" xr:uid="{A6A069BC-8A25-4ECA-A89E-91B285978B2F}"/>
    <cellStyle name="표준 2 3" xfId="33" xr:uid="{93520B60-294F-49A6-A0E2-4597BD79B674}"/>
    <cellStyle name="표준 20" xfId="56" xr:uid="{B7ADB677-3340-41BA-9C7B-35B225304EE0}"/>
    <cellStyle name="표준 21" xfId="15" xr:uid="{E8BF83D6-E2BA-4835-9A62-8DA50571427D}"/>
    <cellStyle name="표준 22" xfId="57" xr:uid="{B0BA8272-3E51-4F1D-A085-AF9F33619768}"/>
    <cellStyle name="표준 23" xfId="58" xr:uid="{9EDBACA9-245A-4BC8-859D-986A55C41AEC}"/>
    <cellStyle name="표준 24" xfId="59" xr:uid="{EB0AF95B-39ED-487A-8FF4-4B2A15DED79F}"/>
    <cellStyle name="표준 25" xfId="35" xr:uid="{6D051E37-E28D-47ED-B091-BFEC708A2D29}"/>
    <cellStyle name="표준 25 2" xfId="70" xr:uid="{028757CF-0FFC-4A99-871D-A299204ED527}"/>
    <cellStyle name="표준 27" xfId="60" xr:uid="{F09D5C33-8BAD-42D6-B0CA-F40019B5CC7D}"/>
    <cellStyle name="표준 28" xfId="61" xr:uid="{A5B33A55-9FD2-48F6-BD3B-7352FCB7A6A5}"/>
    <cellStyle name="표준 29" xfId="62" xr:uid="{3B9B3A48-7CDE-41AA-98DF-9F68D36309AC}"/>
    <cellStyle name="표준 3" xfId="16" xr:uid="{D18FB6BE-5AFA-49FD-B792-8BB933ABE4E6}"/>
    <cellStyle name="표준 3 2" xfId="64" xr:uid="{8660B36E-4F48-4E2F-B6A5-8D943B5200C8}"/>
    <cellStyle name="표준 3 3" xfId="63" xr:uid="{1EE0F68A-A23A-467E-9432-F94389003851}"/>
    <cellStyle name="표준 4" xfId="17" xr:uid="{7429708F-DBC8-4EE5-8F09-03A649B74750}"/>
    <cellStyle name="표준 4 2" xfId="38" xr:uid="{5E29272D-5BB4-47EA-8FB9-1C0E6371B426}"/>
    <cellStyle name="표준 4 2 2" xfId="65" xr:uid="{8C5160A8-0598-49A8-BFF1-5BD8EB221147}"/>
    <cellStyle name="표준 43" xfId="66" xr:uid="{D911A202-882E-43F1-A2F5-1E433B4BFD19}"/>
    <cellStyle name="표준 48" xfId="67" xr:uid="{3723911C-5B28-46AD-8C59-B715893F3054}"/>
    <cellStyle name="표준 5" xfId="1" xr:uid="{2B827C90-DF5C-40BB-961C-8FD6354A49BA}"/>
    <cellStyle name="표준 5 2" xfId="39" xr:uid="{89073713-D5EE-4DC6-B99A-5880A2967C9D}"/>
    <cellStyle name="표준 6" xfId="40" xr:uid="{6C4DE5A7-E264-4920-A6F5-E2D30E589A1F}"/>
    <cellStyle name="표준 6 2" xfId="68" xr:uid="{64A9E7BA-F33D-4E11-9B5C-FED288FC9576}"/>
    <cellStyle name="표준 64" xfId="41" xr:uid="{7184EB3B-518C-493A-A76D-25F462BE025B}"/>
    <cellStyle name="표준 66" xfId="42" xr:uid="{4A67D537-210C-4F4E-B375-DEA365C4606D}"/>
    <cellStyle name="표준 67" xfId="43" xr:uid="{0A7561DD-8968-44CD-894A-0BDC6ECE05CF}"/>
    <cellStyle name="표준 68" xfId="44" xr:uid="{9C6D38B9-CEC1-49FF-8734-9F682187A976}"/>
    <cellStyle name="표준 69" xfId="45" xr:uid="{4A70F0EF-5A3D-4943-A169-7A5DA0DC4CD1}"/>
    <cellStyle name="표준 7" xfId="69" xr:uid="{B426E5DB-30DB-49F3-AD0C-A45178A1AD23}"/>
    <cellStyle name="표준 70" xfId="18" xr:uid="{144BAA76-A89B-47B9-A855-0F708593F6E8}"/>
    <cellStyle name="표준 70 2" xfId="46" xr:uid="{34697320-D1CB-4B65-A199-23DDE813754C}"/>
    <cellStyle name="표준 71" xfId="47" xr:uid="{44C38E2A-56A6-42F5-9095-A175EB59C2AA}"/>
    <cellStyle name="표준 72" xfId="48" xr:uid="{8AD0BAC4-8DC7-470B-9917-D5E36EB6F6B3}"/>
    <cellStyle name="표준 75" xfId="49" xr:uid="{F93A982D-3FE0-46C9-B1A5-8EA0E2F0A279}"/>
    <cellStyle name="표준 76" xfId="50" xr:uid="{A4CBE8C9-413F-42F6-9543-21991CB6434F}"/>
    <cellStyle name="표준 78" xfId="51" xr:uid="{45254469-F44A-42DA-AF5B-DE73A6FD7D86}"/>
    <cellStyle name="표준 79" xfId="52" xr:uid="{5251DE03-B009-4988-814B-1F5E4AA31496}"/>
    <cellStyle name="표준 8" xfId="37" xr:uid="{15755E25-D813-4B30-82E5-0C31278FFBFE}"/>
    <cellStyle name="표준 80" xfId="53" xr:uid="{F38E651F-BFCB-463A-914D-EDB893C455B1}"/>
    <cellStyle name="표준 81" xfId="54" xr:uid="{7B3E7E85-0A8D-47D9-9425-8B144A8AFAD2}"/>
    <cellStyle name="표준 9" xfId="19" xr:uid="{B6E79701-D349-4A10-A259-E194CF647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F65-6E89-4958-81E6-2C76DE433562}">
  <dimension ref="A1:J201"/>
  <sheetViews>
    <sheetView tabSelected="1" topLeftCell="A161" workbookViewId="0">
      <selection activeCell="E171" sqref="E171"/>
    </sheetView>
  </sheetViews>
  <sheetFormatPr defaultRowHeight="17" x14ac:dyDescent="0.45"/>
  <cols>
    <col min="1" max="1" width="11.1640625" bestFit="1" customWidth="1"/>
    <col min="9" max="9" width="11.5" bestFit="1" customWidth="1"/>
    <col min="10" max="10" width="12.58203125" bestFit="1" customWidth="1"/>
  </cols>
  <sheetData>
    <row r="1" spans="1:10" x14ac:dyDescent="0.45">
      <c r="A1" t="s">
        <v>1</v>
      </c>
      <c r="B1" s="1" t="s">
        <v>2</v>
      </c>
      <c r="C1" s="1" t="s">
        <v>3</v>
      </c>
    </row>
    <row r="2" spans="1:10" x14ac:dyDescent="0.45">
      <c r="A2">
        <v>2016</v>
      </c>
      <c r="B2" t="s">
        <v>4</v>
      </c>
      <c r="C2" s="1">
        <v>27113</v>
      </c>
    </row>
    <row r="3" spans="1:10" x14ac:dyDescent="0.45">
      <c r="A3">
        <v>2016</v>
      </c>
      <c r="B3" t="s">
        <v>5</v>
      </c>
      <c r="C3" s="1">
        <v>4717</v>
      </c>
    </row>
    <row r="4" spans="1:10" x14ac:dyDescent="0.45">
      <c r="A4">
        <v>2016</v>
      </c>
      <c r="B4" t="s">
        <v>6</v>
      </c>
      <c r="C4" s="1">
        <v>4754</v>
      </c>
    </row>
    <row r="5" spans="1:10" x14ac:dyDescent="0.45">
      <c r="A5">
        <v>2016</v>
      </c>
      <c r="B5" t="s">
        <v>7</v>
      </c>
      <c r="C5" s="1">
        <v>4943</v>
      </c>
    </row>
    <row r="6" spans="1:10" x14ac:dyDescent="0.45">
      <c r="A6">
        <v>2016</v>
      </c>
      <c r="B6" t="s">
        <v>8</v>
      </c>
      <c r="C6" s="1">
        <v>4201</v>
      </c>
    </row>
    <row r="7" spans="1:10" x14ac:dyDescent="0.45">
      <c r="A7">
        <v>2016</v>
      </c>
      <c r="B7" t="s">
        <v>9</v>
      </c>
      <c r="C7" s="1">
        <v>2947</v>
      </c>
    </row>
    <row r="8" spans="1:10" x14ac:dyDescent="0.45">
      <c r="A8">
        <v>2016</v>
      </c>
      <c r="B8" t="s">
        <v>10</v>
      </c>
      <c r="C8" s="1">
        <v>7069</v>
      </c>
    </row>
    <row r="9" spans="1:10" x14ac:dyDescent="0.45">
      <c r="A9">
        <v>2016</v>
      </c>
      <c r="B9" t="s">
        <v>11</v>
      </c>
      <c r="C9" s="1">
        <v>2578</v>
      </c>
      <c r="E9" s="1"/>
      <c r="F9" s="1"/>
      <c r="G9" s="1"/>
      <c r="H9" s="1"/>
      <c r="I9" s="4"/>
      <c r="J9" s="4"/>
    </row>
    <row r="10" spans="1:10" x14ac:dyDescent="0.45">
      <c r="A10">
        <v>2016</v>
      </c>
      <c r="B10" t="s">
        <v>12</v>
      </c>
      <c r="C10" s="1">
        <v>6038</v>
      </c>
      <c r="E10" s="1"/>
      <c r="F10" s="1"/>
      <c r="G10" s="1"/>
      <c r="H10" s="1"/>
      <c r="I10" s="4"/>
      <c r="J10" s="4"/>
    </row>
    <row r="11" spans="1:10" x14ac:dyDescent="0.45">
      <c r="A11">
        <v>2016</v>
      </c>
      <c r="B11" t="s">
        <v>13</v>
      </c>
      <c r="C11" s="1">
        <v>4968</v>
      </c>
      <c r="E11" s="1"/>
      <c r="F11" s="1"/>
      <c r="G11" s="1"/>
      <c r="H11" s="1"/>
      <c r="I11" s="4"/>
      <c r="J11" s="4"/>
    </row>
    <row r="12" spans="1:10" x14ac:dyDescent="0.45">
      <c r="A12">
        <v>2016</v>
      </c>
      <c r="B12" t="s">
        <v>14</v>
      </c>
      <c r="C12" s="1">
        <f xml:space="preserve"> 9900+12074</f>
        <v>21974</v>
      </c>
      <c r="E12" s="1"/>
      <c r="F12" s="1"/>
      <c r="G12" s="1"/>
      <c r="H12" s="1"/>
      <c r="I12" s="4"/>
      <c r="J12" s="4"/>
    </row>
    <row r="13" spans="1:10" x14ac:dyDescent="0.45">
      <c r="A13">
        <v>2016</v>
      </c>
      <c r="B13" t="s">
        <v>15</v>
      </c>
      <c r="C13" s="1">
        <v>19444</v>
      </c>
      <c r="E13" s="1"/>
      <c r="F13" s="1"/>
      <c r="G13" s="1"/>
      <c r="H13" s="1"/>
      <c r="I13" s="4"/>
      <c r="J13" s="4"/>
    </row>
    <row r="14" spans="1:10" x14ac:dyDescent="0.45">
      <c r="A14">
        <v>2016</v>
      </c>
      <c r="B14" t="s">
        <v>16</v>
      </c>
      <c r="C14" s="1">
        <v>25827</v>
      </c>
      <c r="E14" s="1"/>
      <c r="F14" s="1"/>
      <c r="G14" s="1"/>
      <c r="H14" s="1"/>
      <c r="I14" s="4"/>
      <c r="J14" s="4"/>
    </row>
    <row r="15" spans="1:10" x14ac:dyDescent="0.45">
      <c r="A15">
        <v>2016</v>
      </c>
      <c r="B15" t="s">
        <v>17</v>
      </c>
      <c r="C15" s="1">
        <v>47769</v>
      </c>
      <c r="E15" s="1"/>
      <c r="F15" s="1"/>
      <c r="G15" s="1"/>
      <c r="H15" s="1"/>
      <c r="I15" s="4"/>
      <c r="J15" s="4"/>
    </row>
    <row r="16" spans="1:10" x14ac:dyDescent="0.45">
      <c r="A16">
        <v>2016</v>
      </c>
      <c r="B16" t="s">
        <v>18</v>
      </c>
      <c r="C16" s="1">
        <v>49098</v>
      </c>
      <c r="E16" s="1"/>
      <c r="F16" s="1"/>
      <c r="G16" s="1"/>
      <c r="H16" s="1"/>
      <c r="I16" s="4"/>
      <c r="J16" s="4"/>
    </row>
    <row r="17" spans="1:10" x14ac:dyDescent="0.45">
      <c r="A17">
        <v>2016</v>
      </c>
      <c r="B17" t="s">
        <v>19</v>
      </c>
      <c r="C17" s="1">
        <v>33706</v>
      </c>
      <c r="E17" s="1"/>
      <c r="F17" s="1"/>
      <c r="G17" s="1"/>
      <c r="H17" s="1"/>
      <c r="I17" s="4"/>
      <c r="J17" s="4"/>
    </row>
    <row r="18" spans="1:10" x14ac:dyDescent="0.45">
      <c r="A18">
        <v>2016</v>
      </c>
      <c r="B18" t="s">
        <v>20</v>
      </c>
      <c r="C18" s="1">
        <v>29778</v>
      </c>
      <c r="E18" s="1"/>
      <c r="F18" s="1"/>
      <c r="G18" s="1"/>
      <c r="H18" s="1"/>
      <c r="I18" s="4"/>
      <c r="J18" s="4"/>
    </row>
    <row r="19" spans="1:10" x14ac:dyDescent="0.45">
      <c r="A19">
        <v>2016</v>
      </c>
      <c r="B19" t="s">
        <v>21</v>
      </c>
      <c r="C19" s="1">
        <v>24088</v>
      </c>
      <c r="E19" s="1"/>
      <c r="F19" s="1"/>
      <c r="G19" s="1"/>
      <c r="H19" s="1"/>
      <c r="I19" s="4"/>
      <c r="J19" s="4"/>
    </row>
    <row r="20" spans="1:10" x14ac:dyDescent="0.45">
      <c r="A20">
        <v>2016</v>
      </c>
      <c r="B20" t="s">
        <v>22</v>
      </c>
      <c r="C20" s="1">
        <v>22489</v>
      </c>
      <c r="E20" s="1"/>
      <c r="F20" s="1"/>
      <c r="G20" s="1"/>
      <c r="H20" s="1"/>
      <c r="I20" s="4"/>
      <c r="J20" s="4"/>
    </row>
    <row r="21" spans="1:10" x14ac:dyDescent="0.45">
      <c r="A21">
        <v>2016</v>
      </c>
      <c r="B21" t="s">
        <v>23</v>
      </c>
      <c r="C21" s="1">
        <v>10873</v>
      </c>
      <c r="E21" s="1"/>
      <c r="F21" s="1"/>
      <c r="G21" s="1"/>
      <c r="H21" s="1"/>
      <c r="I21" s="4"/>
      <c r="J21" s="4"/>
    </row>
    <row r="22" spans="1:10" x14ac:dyDescent="0.45">
      <c r="A22">
        <v>2016</v>
      </c>
      <c r="B22" t="s">
        <v>24</v>
      </c>
      <c r="C22" s="1">
        <f>18191+27504</f>
        <v>45695</v>
      </c>
      <c r="E22" s="1"/>
      <c r="F22" s="1"/>
      <c r="G22" s="1"/>
      <c r="H22" s="1"/>
      <c r="I22" s="4"/>
      <c r="J22" s="4"/>
    </row>
    <row r="23" spans="1:10" x14ac:dyDescent="0.45">
      <c r="A23">
        <v>2016</v>
      </c>
      <c r="B23" t="s">
        <v>25</v>
      </c>
      <c r="C23" s="1">
        <f>15729+41400+21487</f>
        <v>78616</v>
      </c>
      <c r="E23" s="1"/>
      <c r="F23" s="1"/>
      <c r="G23" s="1"/>
      <c r="H23" s="1"/>
      <c r="I23" s="4"/>
      <c r="J23" s="4"/>
    </row>
    <row r="24" spans="1:10" x14ac:dyDescent="0.45">
      <c r="A24">
        <v>2016</v>
      </c>
      <c r="B24" t="s">
        <v>26</v>
      </c>
      <c r="C24" s="1">
        <v>38790</v>
      </c>
      <c r="E24" s="1"/>
      <c r="F24" s="1"/>
      <c r="G24" s="1"/>
      <c r="H24" s="1"/>
      <c r="I24" s="4"/>
      <c r="J24" s="4"/>
    </row>
    <row r="25" spans="1:10" x14ac:dyDescent="0.45">
      <c r="A25">
        <v>2016</v>
      </c>
      <c r="B25" s="3" t="s">
        <v>0</v>
      </c>
      <c r="C25" s="1">
        <v>37399</v>
      </c>
      <c r="E25" s="1"/>
      <c r="F25" s="1"/>
      <c r="G25" s="2"/>
      <c r="H25" s="2"/>
      <c r="I25" s="4"/>
      <c r="J25" s="4"/>
    </row>
    <row r="26" spans="1:10" x14ac:dyDescent="0.45">
      <c r="A26">
        <v>2016</v>
      </c>
      <c r="B26" t="s">
        <v>27</v>
      </c>
      <c r="C26" s="1">
        <f>37303+43606</f>
        <v>80909</v>
      </c>
      <c r="E26" s="1"/>
      <c r="F26" s="1"/>
      <c r="G26" s="1"/>
      <c r="H26" s="1"/>
      <c r="I26" s="4"/>
      <c r="J26" s="4"/>
    </row>
    <row r="27" spans="1:10" x14ac:dyDescent="0.45">
      <c r="A27">
        <v>2017</v>
      </c>
      <c r="B27" t="s">
        <v>4</v>
      </c>
      <c r="C27" s="1">
        <v>26706</v>
      </c>
      <c r="G27" s="1"/>
      <c r="H27" s="1"/>
      <c r="I27" s="1"/>
      <c r="J27" s="1"/>
    </row>
    <row r="28" spans="1:10" x14ac:dyDescent="0.45">
      <c r="A28">
        <v>2017</v>
      </c>
      <c r="B28" t="s">
        <v>5</v>
      </c>
      <c r="C28" s="1">
        <v>4602</v>
      </c>
    </row>
    <row r="29" spans="1:10" x14ac:dyDescent="0.45">
      <c r="A29">
        <v>2017</v>
      </c>
      <c r="B29" t="s">
        <v>6</v>
      </c>
      <c r="C29" s="1">
        <v>4744</v>
      </c>
    </row>
    <row r="30" spans="1:10" x14ac:dyDescent="0.45">
      <c r="A30">
        <v>2017</v>
      </c>
      <c r="B30" t="s">
        <v>7</v>
      </c>
      <c r="C30" s="1">
        <v>4866</v>
      </c>
    </row>
    <row r="31" spans="1:10" x14ac:dyDescent="0.45">
      <c r="A31">
        <v>2017</v>
      </c>
      <c r="B31" t="s">
        <v>8</v>
      </c>
      <c r="C31" s="1">
        <v>4147</v>
      </c>
    </row>
    <row r="32" spans="1:10" x14ac:dyDescent="0.45">
      <c r="A32">
        <v>2017</v>
      </c>
      <c r="B32" t="s">
        <v>9</v>
      </c>
      <c r="C32" s="1">
        <v>2880</v>
      </c>
    </row>
    <row r="33" spans="1:3" x14ac:dyDescent="0.45">
      <c r="A33">
        <v>2017</v>
      </c>
      <c r="B33" t="s">
        <v>10</v>
      </c>
      <c r="C33" s="1">
        <v>7062</v>
      </c>
    </row>
    <row r="34" spans="1:3" x14ac:dyDescent="0.45">
      <c r="A34">
        <v>2017</v>
      </c>
      <c r="B34" t="s">
        <v>11</v>
      </c>
      <c r="C34" s="1">
        <v>2567</v>
      </c>
    </row>
    <row r="35" spans="1:3" x14ac:dyDescent="0.45">
      <c r="A35">
        <v>2017</v>
      </c>
      <c r="B35" t="s">
        <v>12</v>
      </c>
      <c r="C35" s="1">
        <v>5967</v>
      </c>
    </row>
    <row r="36" spans="1:3" x14ac:dyDescent="0.45">
      <c r="A36">
        <v>2017</v>
      </c>
      <c r="B36" t="s">
        <v>13</v>
      </c>
      <c r="C36" s="1">
        <v>4701</v>
      </c>
    </row>
    <row r="37" spans="1:3" x14ac:dyDescent="0.45">
      <c r="A37">
        <v>2017</v>
      </c>
      <c r="B37" t="s">
        <v>14</v>
      </c>
      <c r="C37" s="1">
        <f>9615+11540</f>
        <v>21155</v>
      </c>
    </row>
    <row r="38" spans="1:3" x14ac:dyDescent="0.45">
      <c r="A38">
        <v>2017</v>
      </c>
      <c r="B38" t="s">
        <v>15</v>
      </c>
      <c r="C38" s="1">
        <v>18851</v>
      </c>
    </row>
    <row r="39" spans="1:3" x14ac:dyDescent="0.45">
      <c r="A39">
        <v>2017</v>
      </c>
      <c r="B39" t="s">
        <v>16</v>
      </c>
      <c r="C39" s="1">
        <v>25238</v>
      </c>
    </row>
    <row r="40" spans="1:3" x14ac:dyDescent="0.45">
      <c r="A40">
        <v>2017</v>
      </c>
      <c r="B40" t="s">
        <v>17</v>
      </c>
      <c r="C40" s="1">
        <v>47346</v>
      </c>
    </row>
    <row r="41" spans="1:3" x14ac:dyDescent="0.45">
      <c r="A41">
        <v>2017</v>
      </c>
      <c r="B41" t="s">
        <v>18</v>
      </c>
      <c r="C41" s="1">
        <v>48638</v>
      </c>
    </row>
    <row r="42" spans="1:3" x14ac:dyDescent="0.45">
      <c r="A42">
        <v>2017</v>
      </c>
      <c r="B42" t="s">
        <v>19</v>
      </c>
      <c r="C42" s="1">
        <v>34977</v>
      </c>
    </row>
    <row r="43" spans="1:3" x14ac:dyDescent="0.45">
      <c r="A43">
        <v>2017</v>
      </c>
      <c r="B43" t="s">
        <v>20</v>
      </c>
      <c r="C43" s="1">
        <v>29301</v>
      </c>
    </row>
    <row r="44" spans="1:3" x14ac:dyDescent="0.45">
      <c r="A44">
        <v>2017</v>
      </c>
      <c r="B44" t="s">
        <v>21</v>
      </c>
      <c r="C44" s="1">
        <v>23961</v>
      </c>
    </row>
    <row r="45" spans="1:3" x14ac:dyDescent="0.45">
      <c r="A45">
        <v>2017</v>
      </c>
      <c r="B45" t="s">
        <v>22</v>
      </c>
      <c r="C45" s="1">
        <v>21720</v>
      </c>
    </row>
    <row r="46" spans="1:3" x14ac:dyDescent="0.45">
      <c r="A46">
        <v>2017</v>
      </c>
      <c r="B46" t="s">
        <v>23</v>
      </c>
      <c r="C46" s="1">
        <v>10689</v>
      </c>
    </row>
    <row r="47" spans="1:3" x14ac:dyDescent="0.45">
      <c r="A47">
        <v>2017</v>
      </c>
      <c r="B47" t="s">
        <v>24</v>
      </c>
      <c r="C47" s="1">
        <f>17782+27695</f>
        <v>45477</v>
      </c>
    </row>
    <row r="48" spans="1:3" x14ac:dyDescent="0.45">
      <c r="A48">
        <v>2017</v>
      </c>
      <c r="B48" t="s">
        <v>25</v>
      </c>
      <c r="C48" s="1">
        <f>15407+40407+20891</f>
        <v>76705</v>
      </c>
    </row>
    <row r="49" spans="1:3" x14ac:dyDescent="0.45">
      <c r="A49">
        <v>2017</v>
      </c>
      <c r="B49" t="s">
        <v>26</v>
      </c>
      <c r="C49" s="1">
        <v>41360</v>
      </c>
    </row>
    <row r="50" spans="1:3" x14ac:dyDescent="0.45">
      <c r="A50">
        <v>2017</v>
      </c>
      <c r="B50" s="3" t="s">
        <v>0</v>
      </c>
      <c r="C50" s="1">
        <v>51396</v>
      </c>
    </row>
    <row r="51" spans="1:3" x14ac:dyDescent="0.45">
      <c r="A51">
        <v>2017</v>
      </c>
      <c r="B51" t="s">
        <v>27</v>
      </c>
      <c r="C51" s="1">
        <f>39464+45882</f>
        <v>85346</v>
      </c>
    </row>
    <row r="52" spans="1:3" x14ac:dyDescent="0.45">
      <c r="A52">
        <v>2018</v>
      </c>
      <c r="B52" t="s">
        <v>4</v>
      </c>
      <c r="C52">
        <v>25682</v>
      </c>
    </row>
    <row r="53" spans="1:3" x14ac:dyDescent="0.45">
      <c r="A53">
        <v>2018</v>
      </c>
      <c r="B53" t="s">
        <v>5</v>
      </c>
      <c r="C53">
        <v>4652</v>
      </c>
    </row>
    <row r="54" spans="1:3" x14ac:dyDescent="0.45">
      <c r="A54">
        <v>2018</v>
      </c>
      <c r="B54" t="s">
        <v>6</v>
      </c>
      <c r="C54">
        <v>4662</v>
      </c>
    </row>
    <row r="55" spans="1:3" x14ac:dyDescent="0.45">
      <c r="A55">
        <v>2018</v>
      </c>
      <c r="B55" t="s">
        <v>7</v>
      </c>
      <c r="C55">
        <v>4837</v>
      </c>
    </row>
    <row r="56" spans="1:3" x14ac:dyDescent="0.45">
      <c r="A56">
        <v>2018</v>
      </c>
      <c r="B56" t="s">
        <v>8</v>
      </c>
      <c r="C56">
        <v>4134</v>
      </c>
    </row>
    <row r="57" spans="1:3" x14ac:dyDescent="0.45">
      <c r="A57">
        <v>2018</v>
      </c>
      <c r="B57" t="s">
        <v>9</v>
      </c>
      <c r="C57">
        <v>2920</v>
      </c>
    </row>
    <row r="58" spans="1:3" x14ac:dyDescent="0.45">
      <c r="A58">
        <v>2018</v>
      </c>
      <c r="B58" t="s">
        <v>10</v>
      </c>
      <c r="C58">
        <v>6936</v>
      </c>
    </row>
    <row r="59" spans="1:3" x14ac:dyDescent="0.45">
      <c r="A59">
        <v>2018</v>
      </c>
      <c r="B59" t="s">
        <v>11</v>
      </c>
      <c r="C59">
        <v>2626</v>
      </c>
    </row>
    <row r="60" spans="1:3" x14ac:dyDescent="0.45">
      <c r="A60">
        <v>2018</v>
      </c>
      <c r="B60" t="s">
        <v>12</v>
      </c>
      <c r="C60">
        <v>6179</v>
      </c>
    </row>
    <row r="61" spans="1:3" x14ac:dyDescent="0.45">
      <c r="A61">
        <v>2018</v>
      </c>
      <c r="B61" t="s">
        <v>13</v>
      </c>
      <c r="C61">
        <v>4739</v>
      </c>
    </row>
    <row r="62" spans="1:3" x14ac:dyDescent="0.45">
      <c r="A62">
        <v>2018</v>
      </c>
      <c r="B62" t="s">
        <v>14</v>
      </c>
      <c r="C62">
        <f>9379+10707</f>
        <v>20086</v>
      </c>
    </row>
    <row r="63" spans="1:3" x14ac:dyDescent="0.45">
      <c r="A63">
        <v>2018</v>
      </c>
      <c r="B63" t="s">
        <v>15</v>
      </c>
      <c r="C63">
        <v>18857</v>
      </c>
    </row>
    <row r="64" spans="1:3" x14ac:dyDescent="0.45">
      <c r="A64">
        <v>2018</v>
      </c>
      <c r="B64" t="s">
        <v>16</v>
      </c>
      <c r="C64">
        <v>25618</v>
      </c>
    </row>
    <row r="65" spans="1:3" x14ac:dyDescent="0.45">
      <c r="A65">
        <v>2018</v>
      </c>
      <c r="B65" t="s">
        <v>17</v>
      </c>
      <c r="C65">
        <v>46268</v>
      </c>
    </row>
    <row r="66" spans="1:3" x14ac:dyDescent="0.45">
      <c r="A66">
        <v>2018</v>
      </c>
      <c r="B66" t="s">
        <v>18</v>
      </c>
      <c r="C66">
        <v>52948</v>
      </c>
    </row>
    <row r="67" spans="1:3" x14ac:dyDescent="0.45">
      <c r="A67">
        <v>2018</v>
      </c>
      <c r="B67" t="s">
        <v>19</v>
      </c>
      <c r="C67">
        <v>39933</v>
      </c>
    </row>
    <row r="68" spans="1:3" x14ac:dyDescent="0.45">
      <c r="A68">
        <v>2018</v>
      </c>
      <c r="B68" t="s">
        <v>20</v>
      </c>
      <c r="C68">
        <v>29137</v>
      </c>
    </row>
    <row r="69" spans="1:3" x14ac:dyDescent="0.45">
      <c r="A69">
        <v>2018</v>
      </c>
      <c r="B69" t="s">
        <v>21</v>
      </c>
      <c r="C69">
        <v>23369</v>
      </c>
    </row>
    <row r="70" spans="1:3" x14ac:dyDescent="0.45">
      <c r="A70">
        <v>2018</v>
      </c>
      <c r="B70" t="s">
        <v>22</v>
      </c>
      <c r="C70">
        <v>21247</v>
      </c>
    </row>
    <row r="71" spans="1:3" x14ac:dyDescent="0.45">
      <c r="A71">
        <v>2018</v>
      </c>
      <c r="B71" t="s">
        <v>23</v>
      </c>
      <c r="C71">
        <v>10757</v>
      </c>
    </row>
    <row r="72" spans="1:3" x14ac:dyDescent="0.45">
      <c r="A72">
        <v>2018</v>
      </c>
      <c r="B72" t="s">
        <v>24</v>
      </c>
      <c r="C72">
        <f>17640+27234</f>
        <v>44874</v>
      </c>
    </row>
    <row r="73" spans="1:3" x14ac:dyDescent="0.45">
      <c r="A73">
        <v>2018</v>
      </c>
      <c r="B73" t="s">
        <v>25</v>
      </c>
      <c r="C73">
        <f>14763+39914+20098</f>
        <v>74775</v>
      </c>
    </row>
    <row r="74" spans="1:3" x14ac:dyDescent="0.45">
      <c r="A74">
        <v>2018</v>
      </c>
      <c r="B74" t="s">
        <v>26</v>
      </c>
      <c r="C74">
        <v>41371</v>
      </c>
    </row>
    <row r="75" spans="1:3" x14ac:dyDescent="0.45">
      <c r="A75">
        <v>2018</v>
      </c>
      <c r="B75" s="3" t="s">
        <v>0</v>
      </c>
      <c r="C75">
        <v>64492</v>
      </c>
    </row>
    <row r="76" spans="1:3" x14ac:dyDescent="0.45">
      <c r="A76">
        <v>2018</v>
      </c>
      <c r="B76" t="s">
        <v>27</v>
      </c>
      <c r="C76">
        <f>40675+52619</f>
        <v>93294</v>
      </c>
    </row>
    <row r="77" spans="1:3" x14ac:dyDescent="0.45">
      <c r="A77">
        <v>2019</v>
      </c>
      <c r="B77" t="s">
        <v>4</v>
      </c>
      <c r="C77" s="1">
        <v>25069</v>
      </c>
    </row>
    <row r="78" spans="1:3" x14ac:dyDescent="0.45">
      <c r="A78">
        <v>2019</v>
      </c>
      <c r="B78" t="s">
        <v>5</v>
      </c>
      <c r="C78" s="1">
        <v>4555</v>
      </c>
    </row>
    <row r="79" spans="1:3" x14ac:dyDescent="0.45">
      <c r="A79">
        <v>2019</v>
      </c>
      <c r="B79" t="s">
        <v>6</v>
      </c>
      <c r="C79" s="1">
        <v>4581</v>
      </c>
    </row>
    <row r="80" spans="1:3" x14ac:dyDescent="0.45">
      <c r="A80">
        <v>2019</v>
      </c>
      <c r="B80" t="s">
        <v>7</v>
      </c>
      <c r="C80" s="1">
        <v>4662</v>
      </c>
    </row>
    <row r="81" spans="1:3" x14ac:dyDescent="0.45">
      <c r="A81">
        <v>2019</v>
      </c>
      <c r="B81" t="s">
        <v>8</v>
      </c>
      <c r="C81" s="1">
        <v>3998</v>
      </c>
    </row>
    <row r="82" spans="1:3" x14ac:dyDescent="0.45">
      <c r="A82">
        <v>2019</v>
      </c>
      <c r="B82" t="s">
        <v>9</v>
      </c>
      <c r="C82" s="1">
        <v>2828</v>
      </c>
    </row>
    <row r="83" spans="1:3" x14ac:dyDescent="0.45">
      <c r="A83">
        <v>2019</v>
      </c>
      <c r="B83" t="s">
        <v>10</v>
      </c>
      <c r="C83" s="1">
        <v>6772</v>
      </c>
    </row>
    <row r="84" spans="1:3" x14ac:dyDescent="0.45">
      <c r="A84">
        <v>2019</v>
      </c>
      <c r="B84" t="s">
        <v>11</v>
      </c>
      <c r="C84" s="1">
        <v>2603</v>
      </c>
    </row>
    <row r="85" spans="1:3" x14ac:dyDescent="0.45">
      <c r="A85">
        <v>2019</v>
      </c>
      <c r="B85" t="s">
        <v>12</v>
      </c>
      <c r="C85" s="1">
        <v>6105</v>
      </c>
    </row>
    <row r="86" spans="1:3" x14ac:dyDescent="0.45">
      <c r="A86">
        <v>2019</v>
      </c>
      <c r="B86" t="s">
        <v>13</v>
      </c>
      <c r="C86" s="1">
        <v>4386</v>
      </c>
    </row>
    <row r="87" spans="1:3" x14ac:dyDescent="0.45">
      <c r="A87">
        <v>2019</v>
      </c>
      <c r="B87" t="s">
        <v>14</v>
      </c>
      <c r="C87" s="1">
        <f>9386+10216</f>
        <v>19602</v>
      </c>
    </row>
    <row r="88" spans="1:3" x14ac:dyDescent="0.45">
      <c r="A88">
        <v>2019</v>
      </c>
      <c r="B88" t="s">
        <v>15</v>
      </c>
      <c r="C88" s="1">
        <v>18440</v>
      </c>
    </row>
    <row r="89" spans="1:3" x14ac:dyDescent="0.45">
      <c r="A89">
        <v>2019</v>
      </c>
      <c r="B89" t="s">
        <v>16</v>
      </c>
      <c r="C89" s="1">
        <v>25276</v>
      </c>
    </row>
    <row r="90" spans="1:3" x14ac:dyDescent="0.45">
      <c r="A90">
        <v>2019</v>
      </c>
      <c r="B90" t="s">
        <v>17</v>
      </c>
      <c r="C90" s="1">
        <v>45955</v>
      </c>
    </row>
    <row r="91" spans="1:3" x14ac:dyDescent="0.45">
      <c r="A91">
        <v>2019</v>
      </c>
      <c r="B91" t="s">
        <v>18</v>
      </c>
      <c r="C91" s="1">
        <v>56759</v>
      </c>
    </row>
    <row r="92" spans="1:3" x14ac:dyDescent="0.45">
      <c r="A92">
        <v>2019</v>
      </c>
      <c r="B92" t="s">
        <v>19</v>
      </c>
      <c r="C92" s="1">
        <v>41008</v>
      </c>
    </row>
    <row r="93" spans="1:3" x14ac:dyDescent="0.45">
      <c r="A93">
        <v>2019</v>
      </c>
      <c r="B93" t="s">
        <v>20</v>
      </c>
      <c r="C93" s="1">
        <v>28382</v>
      </c>
    </row>
    <row r="94" spans="1:3" x14ac:dyDescent="0.45">
      <c r="A94">
        <v>2019</v>
      </c>
      <c r="B94" t="s">
        <v>21</v>
      </c>
      <c r="C94" s="1">
        <v>23618</v>
      </c>
    </row>
    <row r="95" spans="1:3" x14ac:dyDescent="0.45">
      <c r="A95">
        <v>2019</v>
      </c>
      <c r="B95" t="s">
        <v>22</v>
      </c>
      <c r="C95" s="1">
        <v>21512</v>
      </c>
    </row>
    <row r="96" spans="1:3" x14ac:dyDescent="0.45">
      <c r="A96">
        <v>2019</v>
      </c>
      <c r="B96" t="s">
        <v>23</v>
      </c>
      <c r="C96" s="1">
        <v>10537</v>
      </c>
    </row>
    <row r="97" spans="1:3" x14ac:dyDescent="0.45">
      <c r="A97">
        <v>2019</v>
      </c>
      <c r="B97" t="s">
        <v>24</v>
      </c>
      <c r="C97" s="1">
        <f>17575+27226</f>
        <v>44801</v>
      </c>
    </row>
    <row r="98" spans="1:3" x14ac:dyDescent="0.45">
      <c r="A98">
        <v>2019</v>
      </c>
      <c r="B98" t="s">
        <v>25</v>
      </c>
      <c r="C98" s="1">
        <f>14531+39243+19664</f>
        <v>73438</v>
      </c>
    </row>
    <row r="99" spans="1:3" x14ac:dyDescent="0.45">
      <c r="A99">
        <v>2019</v>
      </c>
      <c r="B99" t="s">
        <v>26</v>
      </c>
      <c r="C99" s="1">
        <v>41380</v>
      </c>
    </row>
    <row r="100" spans="1:3" x14ac:dyDescent="0.45">
      <c r="A100">
        <v>2019</v>
      </c>
      <c r="B100" s="3" t="s">
        <v>0</v>
      </c>
      <c r="C100" s="1">
        <v>67908</v>
      </c>
    </row>
    <row r="101" spans="1:3" x14ac:dyDescent="0.45">
      <c r="A101">
        <v>2019</v>
      </c>
      <c r="B101" t="s">
        <v>27</v>
      </c>
      <c r="C101" s="1">
        <f>41041+55787</f>
        <v>96828</v>
      </c>
    </row>
    <row r="102" spans="1:3" x14ac:dyDescent="0.45">
      <c r="A102">
        <v>2019</v>
      </c>
      <c r="B102" t="s">
        <v>4</v>
      </c>
      <c r="C102" s="1">
        <v>25032</v>
      </c>
    </row>
    <row r="103" spans="1:3" x14ac:dyDescent="0.45">
      <c r="A103">
        <v>2019</v>
      </c>
      <c r="B103" t="s">
        <v>5</v>
      </c>
      <c r="C103" s="1">
        <v>4469</v>
      </c>
    </row>
    <row r="104" spans="1:3" x14ac:dyDescent="0.45">
      <c r="A104">
        <v>2019</v>
      </c>
      <c r="B104" t="s">
        <v>6</v>
      </c>
      <c r="C104" s="1">
        <v>4553</v>
      </c>
    </row>
    <row r="105" spans="1:3" x14ac:dyDescent="0.45">
      <c r="A105">
        <v>2019</v>
      </c>
      <c r="B105" t="s">
        <v>7</v>
      </c>
      <c r="C105" s="1">
        <v>4593</v>
      </c>
    </row>
    <row r="106" spans="1:3" x14ac:dyDescent="0.45">
      <c r="A106">
        <v>2019</v>
      </c>
      <c r="B106" t="s">
        <v>8</v>
      </c>
      <c r="C106" s="1">
        <v>3856</v>
      </c>
    </row>
    <row r="107" spans="1:3" x14ac:dyDescent="0.45">
      <c r="A107">
        <v>2019</v>
      </c>
      <c r="B107" t="s">
        <v>9</v>
      </c>
      <c r="C107" s="1">
        <v>2775</v>
      </c>
    </row>
    <row r="108" spans="1:3" x14ac:dyDescent="0.45">
      <c r="A108">
        <v>2019</v>
      </c>
      <c r="B108" t="s">
        <v>10</v>
      </c>
      <c r="C108" s="1">
        <v>6518</v>
      </c>
    </row>
    <row r="109" spans="1:3" x14ac:dyDescent="0.45">
      <c r="A109">
        <v>2019</v>
      </c>
      <c r="B109" t="s">
        <v>11</v>
      </c>
      <c r="C109" s="1">
        <v>2423</v>
      </c>
    </row>
    <row r="110" spans="1:3" x14ac:dyDescent="0.45">
      <c r="A110">
        <v>2019</v>
      </c>
      <c r="B110" t="s">
        <v>12</v>
      </c>
      <c r="C110" s="1">
        <v>5993</v>
      </c>
    </row>
    <row r="111" spans="1:3" x14ac:dyDescent="0.45">
      <c r="A111">
        <v>2019</v>
      </c>
      <c r="B111" t="s">
        <v>13</v>
      </c>
      <c r="C111" s="1">
        <v>4117</v>
      </c>
    </row>
    <row r="112" spans="1:3" x14ac:dyDescent="0.45">
      <c r="A112">
        <v>2019</v>
      </c>
      <c r="B112" t="s">
        <v>14</v>
      </c>
      <c r="C112" s="1">
        <f>9191+9918</f>
        <v>19109</v>
      </c>
    </row>
    <row r="113" spans="1:3" x14ac:dyDescent="0.45">
      <c r="A113">
        <v>2019</v>
      </c>
      <c r="B113" t="s">
        <v>15</v>
      </c>
      <c r="C113" s="1">
        <v>19078</v>
      </c>
    </row>
    <row r="114" spans="1:3" x14ac:dyDescent="0.45">
      <c r="A114">
        <v>2019</v>
      </c>
      <c r="B114" t="s">
        <v>16</v>
      </c>
      <c r="C114" s="1">
        <v>24255</v>
      </c>
    </row>
    <row r="115" spans="1:3" x14ac:dyDescent="0.45">
      <c r="A115">
        <v>2019</v>
      </c>
      <c r="B115" t="s">
        <v>17</v>
      </c>
      <c r="C115" s="1">
        <v>45925</v>
      </c>
    </row>
    <row r="116" spans="1:3" x14ac:dyDescent="0.45">
      <c r="A116">
        <v>2019</v>
      </c>
      <c r="B116" t="s">
        <v>18</v>
      </c>
      <c r="C116" s="1">
        <v>56747</v>
      </c>
    </row>
    <row r="117" spans="1:3" x14ac:dyDescent="0.45">
      <c r="A117">
        <v>2019</v>
      </c>
      <c r="B117" t="s">
        <v>19</v>
      </c>
      <c r="C117" s="1">
        <v>40439</v>
      </c>
    </row>
    <row r="118" spans="1:3" x14ac:dyDescent="0.45">
      <c r="A118">
        <v>2019</v>
      </c>
      <c r="B118" t="s">
        <v>20</v>
      </c>
      <c r="C118" s="1">
        <v>27031</v>
      </c>
    </row>
    <row r="119" spans="1:3" x14ac:dyDescent="0.45">
      <c r="A119">
        <v>2019</v>
      </c>
      <c r="B119" t="s">
        <v>21</v>
      </c>
      <c r="C119" s="1">
        <v>23016</v>
      </c>
    </row>
    <row r="120" spans="1:3" x14ac:dyDescent="0.45">
      <c r="A120">
        <v>2019</v>
      </c>
      <c r="B120" t="s">
        <v>22</v>
      </c>
      <c r="C120" s="1">
        <v>21607</v>
      </c>
    </row>
    <row r="121" spans="1:3" x14ac:dyDescent="0.45">
      <c r="A121">
        <v>2019</v>
      </c>
      <c r="B121" t="s">
        <v>23</v>
      </c>
      <c r="C121" s="1">
        <v>10104</v>
      </c>
    </row>
    <row r="122" spans="1:3" x14ac:dyDescent="0.45">
      <c r="A122">
        <v>2019</v>
      </c>
      <c r="B122" t="s">
        <v>24</v>
      </c>
      <c r="C122" s="1">
        <f>17223+27139</f>
        <v>44362</v>
      </c>
    </row>
    <row r="123" spans="1:3" x14ac:dyDescent="0.45">
      <c r="A123">
        <v>2019</v>
      </c>
      <c r="B123" t="s">
        <v>25</v>
      </c>
      <c r="C123" s="1">
        <f>14298+38559+19258</f>
        <v>72115</v>
      </c>
    </row>
    <row r="124" spans="1:3" x14ac:dyDescent="0.45">
      <c r="A124">
        <v>2019</v>
      </c>
      <c r="B124" t="s">
        <v>26</v>
      </c>
      <c r="C124" s="1">
        <v>41165</v>
      </c>
    </row>
    <row r="125" spans="1:3" x14ac:dyDescent="0.45">
      <c r="A125">
        <v>2019</v>
      </c>
      <c r="B125" s="3" t="s">
        <v>0</v>
      </c>
      <c r="C125" s="1">
        <v>70530</v>
      </c>
    </row>
    <row r="126" spans="1:3" x14ac:dyDescent="0.45">
      <c r="A126">
        <v>2019</v>
      </c>
      <c r="B126" t="s">
        <v>27</v>
      </c>
      <c r="C126" s="1">
        <f>47222+58561</f>
        <v>105783</v>
      </c>
    </row>
    <row r="127" spans="1:3" x14ac:dyDescent="0.45">
      <c r="A127">
        <v>2020</v>
      </c>
      <c r="B127" t="s">
        <v>4</v>
      </c>
      <c r="C127" s="1">
        <v>25032</v>
      </c>
    </row>
    <row r="128" spans="1:3" x14ac:dyDescent="0.45">
      <c r="A128">
        <v>2020</v>
      </c>
      <c r="B128" t="s">
        <v>5</v>
      </c>
      <c r="C128" s="1">
        <v>4469</v>
      </c>
    </row>
    <row r="129" spans="1:3" x14ac:dyDescent="0.45">
      <c r="A129">
        <v>2020</v>
      </c>
      <c r="B129" t="s">
        <v>6</v>
      </c>
      <c r="C129" s="1">
        <v>4553</v>
      </c>
    </row>
    <row r="130" spans="1:3" x14ac:dyDescent="0.45">
      <c r="A130">
        <v>2020</v>
      </c>
      <c r="B130" t="s">
        <v>7</v>
      </c>
      <c r="C130" s="1">
        <v>4593</v>
      </c>
    </row>
    <row r="131" spans="1:3" x14ac:dyDescent="0.45">
      <c r="A131">
        <v>2020</v>
      </c>
      <c r="B131" t="s">
        <v>8</v>
      </c>
      <c r="C131" s="1">
        <v>3856</v>
      </c>
    </row>
    <row r="132" spans="1:3" x14ac:dyDescent="0.45">
      <c r="A132">
        <v>2020</v>
      </c>
      <c r="B132" t="s">
        <v>9</v>
      </c>
      <c r="C132" s="1">
        <v>2775</v>
      </c>
    </row>
    <row r="133" spans="1:3" x14ac:dyDescent="0.45">
      <c r="A133">
        <v>2020</v>
      </c>
      <c r="B133" t="s">
        <v>10</v>
      </c>
      <c r="C133" s="1">
        <v>6518</v>
      </c>
    </row>
    <row r="134" spans="1:3" x14ac:dyDescent="0.45">
      <c r="A134">
        <v>2020</v>
      </c>
      <c r="B134" t="s">
        <v>11</v>
      </c>
      <c r="C134" s="1">
        <v>2423</v>
      </c>
    </row>
    <row r="135" spans="1:3" x14ac:dyDescent="0.45">
      <c r="A135">
        <v>2020</v>
      </c>
      <c r="B135" t="s">
        <v>12</v>
      </c>
      <c r="C135" s="1">
        <v>5993</v>
      </c>
    </row>
    <row r="136" spans="1:3" x14ac:dyDescent="0.45">
      <c r="A136">
        <v>2020</v>
      </c>
      <c r="B136" t="s">
        <v>13</v>
      </c>
      <c r="C136" s="1">
        <v>4117</v>
      </c>
    </row>
    <row r="137" spans="1:3" x14ac:dyDescent="0.45">
      <c r="A137">
        <v>2020</v>
      </c>
      <c r="B137" t="s">
        <v>14</v>
      </c>
      <c r="C137" s="1">
        <f>9191+9918</f>
        <v>19109</v>
      </c>
    </row>
    <row r="138" spans="1:3" x14ac:dyDescent="0.45">
      <c r="A138">
        <v>2020</v>
      </c>
      <c r="B138" t="s">
        <v>15</v>
      </c>
      <c r="C138" s="1">
        <v>19078</v>
      </c>
    </row>
    <row r="139" spans="1:3" x14ac:dyDescent="0.45">
      <c r="A139">
        <v>2020</v>
      </c>
      <c r="B139" t="s">
        <v>16</v>
      </c>
      <c r="C139" s="1">
        <v>24255</v>
      </c>
    </row>
    <row r="140" spans="1:3" x14ac:dyDescent="0.45">
      <c r="A140">
        <v>2020</v>
      </c>
      <c r="B140" t="s">
        <v>17</v>
      </c>
      <c r="C140" s="1">
        <v>45925</v>
      </c>
    </row>
    <row r="141" spans="1:3" x14ac:dyDescent="0.45">
      <c r="A141">
        <v>2020</v>
      </c>
      <c r="B141" t="s">
        <v>18</v>
      </c>
      <c r="C141" s="1">
        <v>56747</v>
      </c>
    </row>
    <row r="142" spans="1:3" x14ac:dyDescent="0.45">
      <c r="A142">
        <v>2020</v>
      </c>
      <c r="B142" t="s">
        <v>19</v>
      </c>
      <c r="C142" s="1">
        <v>40439</v>
      </c>
    </row>
    <row r="143" spans="1:3" x14ac:dyDescent="0.45">
      <c r="A143">
        <v>2020</v>
      </c>
      <c r="B143" t="s">
        <v>20</v>
      </c>
      <c r="C143" s="1">
        <v>27031</v>
      </c>
    </row>
    <row r="144" spans="1:3" x14ac:dyDescent="0.45">
      <c r="A144">
        <v>2020</v>
      </c>
      <c r="B144" t="s">
        <v>21</v>
      </c>
      <c r="C144" s="1">
        <v>23016</v>
      </c>
    </row>
    <row r="145" spans="1:3" x14ac:dyDescent="0.45">
      <c r="A145">
        <v>2020</v>
      </c>
      <c r="B145" t="s">
        <v>22</v>
      </c>
      <c r="C145" s="1">
        <v>21607</v>
      </c>
    </row>
    <row r="146" spans="1:3" x14ac:dyDescent="0.45">
      <c r="A146">
        <v>2020</v>
      </c>
      <c r="B146" t="s">
        <v>23</v>
      </c>
      <c r="C146" s="1">
        <v>10104</v>
      </c>
    </row>
    <row r="147" spans="1:3" x14ac:dyDescent="0.45">
      <c r="A147">
        <v>2020</v>
      </c>
      <c r="B147" t="s">
        <v>24</v>
      </c>
      <c r="C147" s="1">
        <f>17223+27139</f>
        <v>44362</v>
      </c>
    </row>
    <row r="148" spans="1:3" x14ac:dyDescent="0.45">
      <c r="A148">
        <v>2020</v>
      </c>
      <c r="B148" t="s">
        <v>25</v>
      </c>
      <c r="C148" s="1">
        <f>14298+38559+19258</f>
        <v>72115</v>
      </c>
    </row>
    <row r="149" spans="1:3" x14ac:dyDescent="0.45">
      <c r="A149">
        <v>2020</v>
      </c>
      <c r="B149" t="s">
        <v>26</v>
      </c>
      <c r="C149" s="1">
        <v>41165</v>
      </c>
    </row>
    <row r="150" spans="1:3" x14ac:dyDescent="0.45">
      <c r="A150">
        <v>2020</v>
      </c>
      <c r="B150" s="3" t="s">
        <v>0</v>
      </c>
      <c r="C150" s="1">
        <v>70530</v>
      </c>
    </row>
    <row r="151" spans="1:3" x14ac:dyDescent="0.45">
      <c r="A151">
        <v>2020</v>
      </c>
      <c r="B151" t="s">
        <v>27</v>
      </c>
      <c r="C151" s="1">
        <f>47222+58561</f>
        <v>105783</v>
      </c>
    </row>
    <row r="152" spans="1:3" x14ac:dyDescent="0.45">
      <c r="A152">
        <v>2021</v>
      </c>
      <c r="B152" t="s">
        <v>4</v>
      </c>
      <c r="C152" s="1">
        <v>25218</v>
      </c>
    </row>
    <row r="153" spans="1:3" x14ac:dyDescent="0.45">
      <c r="A153">
        <v>2021</v>
      </c>
      <c r="B153" t="s">
        <v>5</v>
      </c>
      <c r="C153" s="1">
        <v>4397</v>
      </c>
    </row>
    <row r="154" spans="1:3" x14ac:dyDescent="0.45">
      <c r="A154">
        <v>2021</v>
      </c>
      <c r="B154" t="s">
        <v>6</v>
      </c>
      <c r="C154" s="1">
        <v>4517</v>
      </c>
    </row>
    <row r="155" spans="1:3" x14ac:dyDescent="0.45">
      <c r="A155">
        <v>2021</v>
      </c>
      <c r="B155" t="s">
        <v>7</v>
      </c>
      <c r="C155" s="1">
        <v>4612</v>
      </c>
    </row>
    <row r="156" spans="1:3" x14ac:dyDescent="0.45">
      <c r="A156">
        <v>2021</v>
      </c>
      <c r="B156" t="s">
        <v>8</v>
      </c>
      <c r="C156" s="1">
        <v>3635</v>
      </c>
    </row>
    <row r="157" spans="1:3" x14ac:dyDescent="0.45">
      <c r="A157">
        <v>2021</v>
      </c>
      <c r="B157" t="s">
        <v>9</v>
      </c>
      <c r="C157" s="1">
        <v>2685</v>
      </c>
    </row>
    <row r="158" spans="1:3" x14ac:dyDescent="0.45">
      <c r="A158">
        <v>2021</v>
      </c>
      <c r="B158" t="s">
        <v>10</v>
      </c>
      <c r="C158" s="1">
        <v>6571</v>
      </c>
    </row>
    <row r="159" spans="1:3" x14ac:dyDescent="0.45">
      <c r="A159">
        <v>2021</v>
      </c>
      <c r="B159" t="s">
        <v>11</v>
      </c>
      <c r="C159" s="1">
        <v>2354</v>
      </c>
    </row>
    <row r="160" spans="1:3" x14ac:dyDescent="0.45">
      <c r="A160">
        <v>2021</v>
      </c>
      <c r="B160" t="s">
        <v>12</v>
      </c>
      <c r="C160" s="1">
        <v>5826</v>
      </c>
    </row>
    <row r="161" spans="1:3" x14ac:dyDescent="0.45">
      <c r="A161">
        <v>2021</v>
      </c>
      <c r="B161" t="s">
        <v>13</v>
      </c>
      <c r="C161" s="1">
        <v>4718</v>
      </c>
    </row>
    <row r="162" spans="1:3" x14ac:dyDescent="0.45">
      <c r="A162">
        <v>2021</v>
      </c>
      <c r="B162" t="s">
        <v>14</v>
      </c>
      <c r="C162" s="1">
        <f>8994+9633</f>
        <v>18627</v>
      </c>
    </row>
    <row r="163" spans="1:3" x14ac:dyDescent="0.45">
      <c r="A163">
        <v>2021</v>
      </c>
      <c r="B163" t="s">
        <v>15</v>
      </c>
      <c r="C163" s="1">
        <v>18935</v>
      </c>
    </row>
    <row r="164" spans="1:3" x14ac:dyDescent="0.45">
      <c r="A164">
        <v>2021</v>
      </c>
      <c r="B164" t="s">
        <v>16</v>
      </c>
      <c r="C164" s="1">
        <v>23369</v>
      </c>
    </row>
    <row r="165" spans="1:3" x14ac:dyDescent="0.45">
      <c r="A165">
        <v>2021</v>
      </c>
      <c r="B165" t="s">
        <v>17</v>
      </c>
      <c r="C165" s="1">
        <v>45187</v>
      </c>
    </row>
    <row r="166" spans="1:3" x14ac:dyDescent="0.45">
      <c r="A166">
        <v>2021</v>
      </c>
      <c r="B166" t="s">
        <v>18</v>
      </c>
      <c r="C166" s="1">
        <v>55646</v>
      </c>
    </row>
    <row r="167" spans="1:3" x14ac:dyDescent="0.45">
      <c r="A167">
        <v>2021</v>
      </c>
      <c r="B167" t="s">
        <v>19</v>
      </c>
      <c r="C167" s="1">
        <v>40803</v>
      </c>
    </row>
    <row r="168" spans="1:3" x14ac:dyDescent="0.45">
      <c r="A168">
        <v>2021</v>
      </c>
      <c r="B168" t="s">
        <v>20</v>
      </c>
      <c r="C168" s="1">
        <v>26351</v>
      </c>
    </row>
    <row r="169" spans="1:3" x14ac:dyDescent="0.45">
      <c r="A169">
        <v>2021</v>
      </c>
      <c r="B169" t="s">
        <v>21</v>
      </c>
      <c r="C169" s="1">
        <v>22580</v>
      </c>
    </row>
    <row r="170" spans="1:3" x14ac:dyDescent="0.45">
      <c r="A170">
        <v>2021</v>
      </c>
      <c r="B170" t="s">
        <v>22</v>
      </c>
      <c r="C170" s="1">
        <v>21894</v>
      </c>
    </row>
    <row r="171" spans="1:3" x14ac:dyDescent="0.45">
      <c r="A171">
        <v>2021</v>
      </c>
      <c r="B171" t="s">
        <v>23</v>
      </c>
      <c r="C171" s="1">
        <v>9883</v>
      </c>
    </row>
    <row r="172" spans="1:3" x14ac:dyDescent="0.45">
      <c r="A172">
        <v>2021</v>
      </c>
      <c r="B172" t="s">
        <v>24</v>
      </c>
      <c r="C172" s="1">
        <f>18931+27489</f>
        <v>46420</v>
      </c>
    </row>
    <row r="173" spans="1:3" x14ac:dyDescent="0.45">
      <c r="A173">
        <v>2021</v>
      </c>
      <c r="B173" t="s">
        <v>25</v>
      </c>
      <c r="C173" s="1">
        <f>14049+37904+18915</f>
        <v>70868</v>
      </c>
    </row>
    <row r="174" spans="1:3" x14ac:dyDescent="0.45">
      <c r="A174">
        <v>2021</v>
      </c>
      <c r="B174" t="s">
        <v>26</v>
      </c>
      <c r="C174" s="1">
        <v>40896</v>
      </c>
    </row>
    <row r="175" spans="1:3" x14ac:dyDescent="0.45">
      <c r="A175">
        <v>2021</v>
      </c>
      <c r="B175" s="3" t="s">
        <v>0</v>
      </c>
      <c r="C175" s="2">
        <v>71184</v>
      </c>
    </row>
    <row r="176" spans="1:3" x14ac:dyDescent="0.45">
      <c r="A176">
        <v>2021</v>
      </c>
      <c r="B176" t="s">
        <v>27</v>
      </c>
      <c r="C176" s="1">
        <f>48600+59470</f>
        <v>108070</v>
      </c>
    </row>
    <row r="177" spans="1:3" x14ac:dyDescent="0.45">
      <c r="A177">
        <v>2022</v>
      </c>
      <c r="B177" t="s">
        <v>4</v>
      </c>
      <c r="C177" s="1">
        <v>24893</v>
      </c>
    </row>
    <row r="178" spans="1:3" x14ac:dyDescent="0.45">
      <c r="A178">
        <v>2022</v>
      </c>
      <c r="B178" t="s">
        <v>5</v>
      </c>
      <c r="C178" s="1">
        <v>4371</v>
      </c>
    </row>
    <row r="179" spans="1:3" x14ac:dyDescent="0.45">
      <c r="A179">
        <v>2022</v>
      </c>
      <c r="B179" t="s">
        <v>6</v>
      </c>
      <c r="C179" s="1">
        <v>4423</v>
      </c>
    </row>
    <row r="180" spans="1:3" x14ac:dyDescent="0.45">
      <c r="A180">
        <v>2022</v>
      </c>
      <c r="B180" t="s">
        <v>7</v>
      </c>
      <c r="C180" s="1">
        <v>4685</v>
      </c>
    </row>
    <row r="181" spans="1:3" x14ac:dyDescent="0.45">
      <c r="A181">
        <v>2022</v>
      </c>
      <c r="B181" t="s">
        <v>8</v>
      </c>
      <c r="C181" s="1">
        <v>3670</v>
      </c>
    </row>
    <row r="182" spans="1:3" x14ac:dyDescent="0.45">
      <c r="A182">
        <v>2022</v>
      </c>
      <c r="B182" t="s">
        <v>9</v>
      </c>
      <c r="C182" s="1">
        <v>2742</v>
      </c>
    </row>
    <row r="183" spans="1:3" x14ac:dyDescent="0.45">
      <c r="A183">
        <v>2022</v>
      </c>
      <c r="B183" t="s">
        <v>10</v>
      </c>
      <c r="C183" s="1">
        <v>6891</v>
      </c>
    </row>
    <row r="184" spans="1:3" x14ac:dyDescent="0.45">
      <c r="A184">
        <v>2022</v>
      </c>
      <c r="B184" t="s">
        <v>11</v>
      </c>
      <c r="C184" s="1">
        <v>2276</v>
      </c>
    </row>
    <row r="185" spans="1:3" x14ac:dyDescent="0.45">
      <c r="A185">
        <v>2022</v>
      </c>
      <c r="B185" t="s">
        <v>12</v>
      </c>
      <c r="C185" s="1">
        <v>5755</v>
      </c>
    </row>
    <row r="186" spans="1:3" x14ac:dyDescent="0.45">
      <c r="A186">
        <v>2022</v>
      </c>
      <c r="B186" t="s">
        <v>13</v>
      </c>
      <c r="C186" s="1">
        <v>8021</v>
      </c>
    </row>
    <row r="187" spans="1:3" x14ac:dyDescent="0.45">
      <c r="A187">
        <v>2022</v>
      </c>
      <c r="B187" t="s">
        <v>14</v>
      </c>
      <c r="C187" s="1">
        <f>8894+9519</f>
        <v>18413</v>
      </c>
    </row>
    <row r="188" spans="1:3" x14ac:dyDescent="0.45">
      <c r="A188">
        <v>2022</v>
      </c>
      <c r="B188" t="s">
        <v>15</v>
      </c>
      <c r="C188" s="1">
        <v>18749</v>
      </c>
    </row>
    <row r="189" spans="1:3" x14ac:dyDescent="0.45">
      <c r="A189">
        <v>2022</v>
      </c>
      <c r="B189" t="s">
        <v>16</v>
      </c>
      <c r="C189" s="1">
        <v>22887</v>
      </c>
    </row>
    <row r="190" spans="1:3" x14ac:dyDescent="0.45">
      <c r="A190">
        <v>2022</v>
      </c>
      <c r="B190" t="s">
        <v>17</v>
      </c>
      <c r="C190" s="1">
        <v>44521</v>
      </c>
    </row>
    <row r="191" spans="1:3" x14ac:dyDescent="0.45">
      <c r="A191">
        <v>2022</v>
      </c>
      <c r="B191" t="s">
        <v>18</v>
      </c>
      <c r="C191" s="1">
        <v>55204</v>
      </c>
    </row>
    <row r="192" spans="1:3" x14ac:dyDescent="0.45">
      <c r="A192">
        <v>2022</v>
      </c>
      <c r="B192" t="s">
        <v>19</v>
      </c>
      <c r="C192" s="1">
        <v>41114</v>
      </c>
    </row>
    <row r="193" spans="1:3" x14ac:dyDescent="0.45">
      <c r="A193">
        <v>2022</v>
      </c>
      <c r="B193" t="s">
        <v>20</v>
      </c>
      <c r="C193" s="1">
        <v>26617</v>
      </c>
    </row>
    <row r="194" spans="1:3" x14ac:dyDescent="0.45">
      <c r="A194">
        <v>2022</v>
      </c>
      <c r="B194" t="s">
        <v>21</v>
      </c>
      <c r="C194" s="1">
        <v>22154</v>
      </c>
    </row>
    <row r="195" spans="1:3" x14ac:dyDescent="0.45">
      <c r="A195">
        <v>2022</v>
      </c>
      <c r="B195" t="s">
        <v>22</v>
      </c>
      <c r="C195" s="1">
        <v>21948</v>
      </c>
    </row>
    <row r="196" spans="1:3" x14ac:dyDescent="0.45">
      <c r="A196">
        <v>2022</v>
      </c>
      <c r="B196" t="s">
        <v>23</v>
      </c>
      <c r="C196" s="1">
        <v>9952</v>
      </c>
    </row>
    <row r="197" spans="1:3" x14ac:dyDescent="0.45">
      <c r="A197">
        <v>2022</v>
      </c>
      <c r="B197" t="s">
        <v>24</v>
      </c>
      <c r="C197" s="1">
        <f>18951+27773</f>
        <v>46724</v>
      </c>
    </row>
    <row r="198" spans="1:3" x14ac:dyDescent="0.45">
      <c r="A198">
        <v>2022</v>
      </c>
      <c r="B198" t="s">
        <v>25</v>
      </c>
      <c r="C198" s="1">
        <f>13795+37363+18510</f>
        <v>69668</v>
      </c>
    </row>
    <row r="199" spans="1:3" x14ac:dyDescent="0.45">
      <c r="A199">
        <v>2022</v>
      </c>
      <c r="B199" t="s">
        <v>26</v>
      </c>
      <c r="C199" s="1">
        <v>40305</v>
      </c>
    </row>
    <row r="200" spans="1:3" x14ac:dyDescent="0.45">
      <c r="A200">
        <v>2022</v>
      </c>
      <c r="B200" s="3" t="s">
        <v>0</v>
      </c>
      <c r="C200" s="2">
        <v>70406</v>
      </c>
    </row>
    <row r="201" spans="1:3" x14ac:dyDescent="0.45">
      <c r="A201">
        <v>2022</v>
      </c>
      <c r="B201" t="s">
        <v>27</v>
      </c>
      <c r="C201" s="1">
        <f>51441+59745</f>
        <v>111186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qp autumn</cp:lastModifiedBy>
  <dcterms:created xsi:type="dcterms:W3CDTF">2023-08-04T04:54:56Z</dcterms:created>
  <dcterms:modified xsi:type="dcterms:W3CDTF">2023-08-27T11:44:02Z</dcterms:modified>
</cp:coreProperties>
</file>